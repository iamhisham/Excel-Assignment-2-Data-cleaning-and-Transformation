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<sst xmlns="http://schemas.openxmlformats.org/spreadsheetml/2006/main" count="255" uniqueCount="163">
  <si>
    <t>Product ID</t>
  </si>
  <si>
    <t>Manufacturing Date</t>
  </si>
  <si>
    <t>Country Code</t>
  </si>
  <si>
    <t>Product Brand</t>
  </si>
  <si>
    <t>Product Name</t>
  </si>
  <si>
    <t>Brand Name</t>
  </si>
  <si>
    <t>Price ($)</t>
  </si>
  <si>
    <t>Quantity</t>
  </si>
  <si>
    <t>Category</t>
  </si>
  <si>
    <t>Cleaned Price ($)</t>
  </si>
  <si>
    <t>Cleaned Category</t>
  </si>
  <si>
    <t>28-JAN-US</t>
  </si>
  <si>
    <t>US</t>
  </si>
  <si>
    <t>Laptop - Dell</t>
  </si>
  <si>
    <t>Laptop</t>
  </si>
  <si>
    <t>Dell</t>
  </si>
  <si>
    <t>Electronics</t>
  </si>
  <si>
    <t>$1000</t>
  </si>
  <si>
    <t>15-FEB-US</t>
  </si>
  <si>
    <t>Sneakers - Nike</t>
  </si>
  <si>
    <t>Sneakers</t>
  </si>
  <si>
    <t>Nike</t>
  </si>
  <si>
    <t>Fashion</t>
  </si>
  <si>
    <t>$80</t>
  </si>
  <si>
    <t>03-MAR-US</t>
  </si>
  <si>
    <t>Coffee Maker - Keurig</t>
  </si>
  <si>
    <t>Coffee Maker</t>
  </si>
  <si>
    <t>Keurig</t>
  </si>
  <si>
    <t>Kitchen</t>
  </si>
  <si>
    <t>$130</t>
  </si>
  <si>
    <t>11-APR-US</t>
  </si>
  <si>
    <t>Smartphone - Samsung</t>
  </si>
  <si>
    <t>Smartphone</t>
  </si>
  <si>
    <t>Samsung</t>
  </si>
  <si>
    <t>$900</t>
  </si>
  <si>
    <t>22-MAY-US</t>
  </si>
  <si>
    <t>Backpack - North Face</t>
  </si>
  <si>
    <t>Backpack</t>
  </si>
  <si>
    <t>North Face</t>
  </si>
  <si>
    <t>$70</t>
  </si>
  <si>
    <t>Accessories</t>
  </si>
  <si>
    <t>07-JUN-UK</t>
  </si>
  <si>
    <t>UK</t>
  </si>
  <si>
    <t>Headphones - Sony</t>
  </si>
  <si>
    <t>Headphones</t>
  </si>
  <si>
    <t>Sony</t>
  </si>
  <si>
    <t>$305</t>
  </si>
  <si>
    <t>19-JUL-UK</t>
  </si>
  <si>
    <t>T-shirt - Adidas</t>
  </si>
  <si>
    <t>T-shirt</t>
  </si>
  <si>
    <t>Adidas</t>
  </si>
  <si>
    <t>$30</t>
  </si>
  <si>
    <t>23-AUG-UK</t>
  </si>
  <si>
    <t>Blender - Ninja</t>
  </si>
  <si>
    <t>Blender</t>
  </si>
  <si>
    <t>Ninja</t>
  </si>
  <si>
    <t>$90</t>
  </si>
  <si>
    <t>05-SEP-UK</t>
  </si>
  <si>
    <t>Tablet - Apple</t>
  </si>
  <si>
    <t>Tablet</t>
  </si>
  <si>
    <t>Apple</t>
  </si>
  <si>
    <t>$500</t>
  </si>
  <si>
    <t>14-OCT-UK</t>
  </si>
  <si>
    <t>Hiking Boots - Timberland</t>
  </si>
  <si>
    <t>Hiking Boots</t>
  </si>
  <si>
    <t>Timberland</t>
  </si>
  <si>
    <t>Outdoor</t>
  </si>
  <si>
    <t>17-JUN-IN</t>
  </si>
  <si>
    <t>IN</t>
  </si>
  <si>
    <t>Laptop - HP</t>
  </si>
  <si>
    <t>HP</t>
  </si>
  <si>
    <t>$950</t>
  </si>
  <si>
    <t>25-NOV-AU</t>
  </si>
  <si>
    <t>AU</t>
  </si>
  <si>
    <t>Sneakers - Adidas</t>
  </si>
  <si>
    <t>08-DEC-DE</t>
  </si>
  <si>
    <t>DE</t>
  </si>
  <si>
    <t>Coffee Maker - Nespresso</t>
  </si>
  <si>
    <t>Nespresso</t>
  </si>
  <si>
    <t>$120</t>
  </si>
  <si>
    <t>18-FEB-CA</t>
  </si>
  <si>
    <t>CA</t>
  </si>
  <si>
    <t>Smartwatch - Fitbit</t>
  </si>
  <si>
    <t>Smartwatch</t>
  </si>
  <si>
    <t>Fitbit</t>
  </si>
  <si>
    <t>$150</t>
  </si>
  <si>
    <t>16-APR-ES</t>
  </si>
  <si>
    <t>ES</t>
  </si>
  <si>
    <t>Headphones - Bose</t>
  </si>
  <si>
    <t>Bose</t>
  </si>
  <si>
    <t>$250</t>
  </si>
  <si>
    <t>21-AUG-CA</t>
  </si>
  <si>
    <t>Laptop Bag - Samsonite</t>
  </si>
  <si>
    <t>Laptop Bag</t>
  </si>
  <si>
    <t>Samsonite</t>
  </si>
  <si>
    <t>$50</t>
  </si>
  <si>
    <t>20-AUG-CN</t>
  </si>
  <si>
    <t>CN</t>
  </si>
  <si>
    <t>Smartwatch - Huawei</t>
  </si>
  <si>
    <t>Huawei</t>
  </si>
  <si>
    <t>$160</t>
  </si>
  <si>
    <t>27-JAN-IT</t>
  </si>
  <si>
    <t>IT</t>
  </si>
  <si>
    <t>Laptop - Asus</t>
  </si>
  <si>
    <t>Asus</t>
  </si>
  <si>
    <t>$980</t>
  </si>
  <si>
    <t>01-MAR-UK</t>
  </si>
  <si>
    <t>Sunglasses - Oakley</t>
  </si>
  <si>
    <t>Sunglasses</t>
  </si>
  <si>
    <t>Oakley</t>
  </si>
  <si>
    <t>14-AUG-US</t>
  </si>
  <si>
    <t>Camping Tent - Coleman</t>
  </si>
  <si>
    <t>Camping Tent</t>
  </si>
  <si>
    <t>Coleman</t>
  </si>
  <si>
    <t>14-MAY-RU</t>
  </si>
  <si>
    <t>RU</t>
  </si>
  <si>
    <t>Camera - Nikon</t>
  </si>
  <si>
    <t>Camera</t>
  </si>
  <si>
    <t>Nikon</t>
  </si>
  <si>
    <t>$700</t>
  </si>
  <si>
    <t>09-JAN-CA</t>
  </si>
  <si>
    <t>Microwave - Panasonic</t>
  </si>
  <si>
    <t>Microwave</t>
  </si>
  <si>
    <t>Panasonic</t>
  </si>
  <si>
    <t>19-JUL-BR</t>
  </si>
  <si>
    <t>BR</t>
  </si>
  <si>
    <t>Fitness Tracker - Xiaomi</t>
  </si>
  <si>
    <t>Fitness Tracker</t>
  </si>
  <si>
    <t>Xiaomi</t>
  </si>
  <si>
    <t>29-SEP-CA</t>
  </si>
  <si>
    <t>Smartphone - Google</t>
  </si>
  <si>
    <t>Google</t>
  </si>
  <si>
    <t>$800</t>
  </si>
  <si>
    <t>03-JUN-CA</t>
  </si>
  <si>
    <t>Sunglasses - Ray-Ban</t>
  </si>
  <si>
    <t>Ray-Ban</t>
  </si>
  <si>
    <t>11-JUL-CA</t>
  </si>
  <si>
    <t>Blender - Vitamix</t>
  </si>
  <si>
    <t>Vitamix</t>
  </si>
  <si>
    <t>$400</t>
  </si>
  <si>
    <t>07-MAR-CA</t>
  </si>
  <si>
    <t>Dress - Zara</t>
  </si>
  <si>
    <t>Dress</t>
  </si>
  <si>
    <t>Zara</t>
  </si>
  <si>
    <t>$60</t>
  </si>
  <si>
    <t>13-APR-CA</t>
  </si>
  <si>
    <t>Toaster - Hamilton</t>
  </si>
  <si>
    <t>Toaster</t>
  </si>
  <si>
    <t>Hamilton</t>
  </si>
  <si>
    <t>$40</t>
  </si>
  <si>
    <t>24-MAY-CA</t>
  </si>
  <si>
    <t>Fitness Tracker - Garmin</t>
  </si>
  <si>
    <t>Garmin</t>
  </si>
  <si>
    <t>02-DEC-CA</t>
  </si>
  <si>
    <t>Jeans - Levi's</t>
  </si>
  <si>
    <t>Jeans</t>
  </si>
  <si>
    <t>Levi's</t>
  </si>
  <si>
    <t>09-JUL-FR</t>
  </si>
  <si>
    <t>FR</t>
  </si>
  <si>
    <t>Watch - Casio</t>
  </si>
  <si>
    <t>Watch</t>
  </si>
  <si>
    <t>Casio</t>
  </si>
  <si>
    <t>$100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</si>
</sst>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_ "/>
  </numFmts>
  <fonts count="28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b/>
      <sz val="10"/>
      <color rgb="FF000000"/>
      <name val="Arial"/>
      <charset val="0"/>
    </font>
    <font>
      <sz val="10"/>
      <color rgb="FF000000"/>
      <name val="Arial"/>
      <charset val="134"/>
    </font>
    <font>
      <sz val="11"/>
      <color rgb="FF000000"/>
      <name val="Aptos Narrow"/>
      <charset val="0"/>
    </font>
    <font>
      <sz val="8"/>
      <color rgb="FF000000"/>
      <name val="Times New Roman"/>
      <charset val="0"/>
    </font>
    <font>
      <b/>
      <sz val="12"/>
      <color rgb="FF000000"/>
      <name val="Times New Roman"/>
      <charset val="134"/>
    </font>
    <font>
      <u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DD0E1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E0F7FA"/>
        <bgColor rgb="FF000000"/>
      </patternFill>
    </fill>
    <fill>
      <patternFill patternType="solid">
        <fgColor rgb="FFCCD2D8"/>
        <bgColor rgb="FF000000"/>
      </patternFill>
    </fill>
    <fill>
      <patternFill patternType="solid">
        <fgColor rgb="FFE7EAE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right" vertical="center"/>
    </xf>
    <xf numFmtId="0" fontId="4" fillId="0" borderId="0" xfId="0" applyFont="1" applyAlignment="1"/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3" fillId="0" borderId="0" xfId="0" applyFont="1" applyAlignment="1"/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b val="0"/>
        <i val="1"/>
      </font>
      <numFmt numFmtId="0" formatCode="General"/>
      <fill>
        <patternFill patternType="solid"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"/>
  <sheetViews>
    <sheetView tabSelected="1" zoomScale="76" zoomScaleNormal="76" workbookViewId="0">
      <selection activeCell="B1" sqref="A1:K32"/>
    </sheetView>
  </sheetViews>
  <sheetFormatPr defaultColWidth="17.1018518518519" defaultRowHeight="14.4"/>
  <cols>
    <col min="1" max="1" width="17.1018518518519" customWidth="1"/>
    <col min="2" max="2" width="28.5" customWidth="1"/>
    <col min="3" max="16384" width="17.1018518518519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7" t="s">
        <v>10</v>
      </c>
      <c r="L1" s="18"/>
      <c r="M1" s="18"/>
    </row>
    <row r="2" spans="1:13">
      <c r="A2" s="5" t="s">
        <v>11</v>
      </c>
      <c r="B2" s="5" t="str">
        <f>LEFT(A2,6)</f>
        <v>28-JAN</v>
      </c>
      <c r="C2" s="5" t="s">
        <v>12</v>
      </c>
      <c r="D2" s="5" t="s">
        <v>13</v>
      </c>
      <c r="E2" s="6" t="s">
        <v>14</v>
      </c>
      <c r="F2" s="7" t="s">
        <v>15</v>
      </c>
      <c r="G2" s="7">
        <v>1000</v>
      </c>
      <c r="H2" s="7">
        <v>30</v>
      </c>
      <c r="I2" s="7" t="s">
        <v>16</v>
      </c>
      <c r="J2" s="7" t="s">
        <v>17</v>
      </c>
      <c r="K2" s="19" t="s">
        <v>16</v>
      </c>
      <c r="L2" s="18"/>
      <c r="M2" s="18"/>
    </row>
    <row r="3" ht="15.6" spans="1:13">
      <c r="A3" s="8" t="s">
        <v>18</v>
      </c>
      <c r="B3" s="5" t="str">
        <f t="shared" ref="B3:B32" si="0">LEFT(A3,6)</f>
        <v>15-FEB</v>
      </c>
      <c r="C3" s="5" t="s">
        <v>12</v>
      </c>
      <c r="D3" s="5" t="s">
        <v>19</v>
      </c>
      <c r="E3" s="9" t="s">
        <v>20</v>
      </c>
      <c r="F3" s="10" t="s">
        <v>21</v>
      </c>
      <c r="G3" s="10">
        <v>80</v>
      </c>
      <c r="H3" s="10">
        <v>15</v>
      </c>
      <c r="I3" s="10" t="s">
        <v>22</v>
      </c>
      <c r="J3" s="12" t="s">
        <v>23</v>
      </c>
      <c r="K3" s="20" t="s">
        <v>22</v>
      </c>
      <c r="L3" s="21"/>
      <c r="M3" s="18"/>
    </row>
    <row r="4" ht="15.6" spans="1:13">
      <c r="A4" s="5" t="s">
        <v>24</v>
      </c>
      <c r="B4" s="5" t="str">
        <f t="shared" si="0"/>
        <v>03-MAR</v>
      </c>
      <c r="C4" s="5" t="s">
        <v>12</v>
      </c>
      <c r="D4" s="5" t="s">
        <v>25</v>
      </c>
      <c r="E4" s="6" t="s">
        <v>26</v>
      </c>
      <c r="F4" s="7" t="s">
        <v>27</v>
      </c>
      <c r="G4" s="7">
        <v>130</v>
      </c>
      <c r="H4" s="7">
        <v>40</v>
      </c>
      <c r="I4" s="7" t="s">
        <v>28</v>
      </c>
      <c r="J4" s="7" t="s">
        <v>29</v>
      </c>
      <c r="K4" s="19" t="s">
        <v>28</v>
      </c>
      <c r="L4" s="18"/>
      <c r="M4" s="22"/>
    </row>
    <row r="5" ht="15.6" spans="1:13">
      <c r="A5" s="8" t="s">
        <v>30</v>
      </c>
      <c r="B5" s="5" t="str">
        <f t="shared" si="0"/>
        <v>11-APR</v>
      </c>
      <c r="C5" s="5" t="s">
        <v>12</v>
      </c>
      <c r="D5" s="5" t="s">
        <v>31</v>
      </c>
      <c r="E5" s="9" t="s">
        <v>32</v>
      </c>
      <c r="F5" s="10" t="s">
        <v>33</v>
      </c>
      <c r="G5" s="10">
        <v>900</v>
      </c>
      <c r="H5" s="10">
        <v>25</v>
      </c>
      <c r="I5" s="10" t="s">
        <v>16</v>
      </c>
      <c r="J5" s="12" t="s">
        <v>34</v>
      </c>
      <c r="K5" s="20" t="s">
        <v>16</v>
      </c>
      <c r="L5" s="18"/>
      <c r="M5" s="23"/>
    </row>
    <row r="6" spans="1:13">
      <c r="A6" s="5" t="s">
        <v>35</v>
      </c>
      <c r="B6" s="5" t="str">
        <f t="shared" si="0"/>
        <v>22-MAY</v>
      </c>
      <c r="C6" s="5" t="s">
        <v>12</v>
      </c>
      <c r="D6" s="5" t="s">
        <v>36</v>
      </c>
      <c r="E6" s="6" t="s">
        <v>37</v>
      </c>
      <c r="F6" s="7" t="s">
        <v>38</v>
      </c>
      <c r="G6" s="7">
        <v>70</v>
      </c>
      <c r="H6" s="7">
        <v>20</v>
      </c>
      <c r="I6" s="7"/>
      <c r="J6" s="7" t="s">
        <v>39</v>
      </c>
      <c r="K6" s="19" t="s">
        <v>40</v>
      </c>
      <c r="L6" s="18"/>
      <c r="M6" s="18"/>
    </row>
    <row r="7" spans="1:13">
      <c r="A7" s="8" t="s">
        <v>41</v>
      </c>
      <c r="B7" s="5" t="str">
        <f t="shared" si="0"/>
        <v>07-JUN</v>
      </c>
      <c r="C7" s="5" t="s">
        <v>42</v>
      </c>
      <c r="D7" s="5" t="s">
        <v>43</v>
      </c>
      <c r="E7" s="9" t="s">
        <v>44</v>
      </c>
      <c r="F7" s="10" t="s">
        <v>45</v>
      </c>
      <c r="G7" s="10"/>
      <c r="H7" s="10">
        <v>45</v>
      </c>
      <c r="I7" s="10" t="s">
        <v>16</v>
      </c>
      <c r="J7" s="12" t="s">
        <v>46</v>
      </c>
      <c r="K7" s="20" t="s">
        <v>16</v>
      </c>
      <c r="L7" s="18"/>
      <c r="M7" s="18"/>
    </row>
    <row r="8" spans="1:13">
      <c r="A8" s="5" t="s">
        <v>47</v>
      </c>
      <c r="B8" s="5" t="str">
        <f t="shared" si="0"/>
        <v>19-JUL</v>
      </c>
      <c r="C8" s="5" t="s">
        <v>42</v>
      </c>
      <c r="D8" s="5" t="s">
        <v>48</v>
      </c>
      <c r="E8" s="6" t="s">
        <v>49</v>
      </c>
      <c r="F8" s="7" t="s">
        <v>50</v>
      </c>
      <c r="G8" s="7">
        <v>30</v>
      </c>
      <c r="H8" s="7">
        <v>5</v>
      </c>
      <c r="I8" s="7" t="s">
        <v>22</v>
      </c>
      <c r="J8" s="7" t="s">
        <v>51</v>
      </c>
      <c r="K8" s="19" t="s">
        <v>22</v>
      </c>
      <c r="L8" s="18"/>
      <c r="M8" s="18"/>
    </row>
    <row r="9" spans="1:13">
      <c r="A9" s="8" t="s">
        <v>52</v>
      </c>
      <c r="B9" s="5" t="str">
        <f t="shared" si="0"/>
        <v>23-AUG</v>
      </c>
      <c r="C9" s="5" t="s">
        <v>42</v>
      </c>
      <c r="D9" s="5" t="s">
        <v>53</v>
      </c>
      <c r="E9" s="9" t="s">
        <v>54</v>
      </c>
      <c r="F9" s="10" t="s">
        <v>55</v>
      </c>
      <c r="G9" s="10">
        <v>90</v>
      </c>
      <c r="H9" s="10">
        <v>35</v>
      </c>
      <c r="I9" s="10" t="s">
        <v>28</v>
      </c>
      <c r="J9" s="12" t="s">
        <v>56</v>
      </c>
      <c r="K9" s="20" t="s">
        <v>28</v>
      </c>
      <c r="L9" s="18"/>
      <c r="M9" s="18"/>
    </row>
    <row r="10" spans="1:13">
      <c r="A10" s="5" t="s">
        <v>57</v>
      </c>
      <c r="B10" s="5" t="str">
        <f t="shared" si="0"/>
        <v>05-SEP</v>
      </c>
      <c r="C10" s="5" t="s">
        <v>42</v>
      </c>
      <c r="D10" s="5" t="s">
        <v>58</v>
      </c>
      <c r="E10" s="6" t="s">
        <v>59</v>
      </c>
      <c r="F10" s="7" t="s">
        <v>60</v>
      </c>
      <c r="G10" s="7">
        <v>500</v>
      </c>
      <c r="H10" s="7">
        <v>50</v>
      </c>
      <c r="I10" s="7" t="s">
        <v>16</v>
      </c>
      <c r="J10" s="7" t="s">
        <v>61</v>
      </c>
      <c r="K10" s="19" t="s">
        <v>16</v>
      </c>
      <c r="L10" s="18"/>
      <c r="M10" s="18"/>
    </row>
    <row r="11" spans="1:13">
      <c r="A11" s="8" t="s">
        <v>62</v>
      </c>
      <c r="B11" s="5" t="str">
        <f t="shared" si="0"/>
        <v>14-OCT</v>
      </c>
      <c r="C11" s="5" t="s">
        <v>42</v>
      </c>
      <c r="D11" s="5" t="s">
        <v>63</v>
      </c>
      <c r="E11" s="9" t="s">
        <v>64</v>
      </c>
      <c r="F11" s="10" t="s">
        <v>65</v>
      </c>
      <c r="G11" s="10">
        <v>130</v>
      </c>
      <c r="H11" s="10">
        <v>10</v>
      </c>
      <c r="I11" s="10" t="s">
        <v>66</v>
      </c>
      <c r="J11" s="12" t="s">
        <v>29</v>
      </c>
      <c r="K11" s="20" t="s">
        <v>66</v>
      </c>
      <c r="L11" s="18"/>
      <c r="M11" s="18"/>
    </row>
    <row r="12" spans="1:13">
      <c r="A12" s="5" t="s">
        <v>67</v>
      </c>
      <c r="B12" s="5" t="str">
        <f t="shared" si="0"/>
        <v>17-JUN</v>
      </c>
      <c r="C12" s="5" t="s">
        <v>68</v>
      </c>
      <c r="D12" s="5" t="s">
        <v>69</v>
      </c>
      <c r="E12" s="6" t="s">
        <v>14</v>
      </c>
      <c r="F12" s="7" t="s">
        <v>70</v>
      </c>
      <c r="G12" s="7">
        <v>950</v>
      </c>
      <c r="H12" s="7">
        <v>25</v>
      </c>
      <c r="I12" s="7" t="s">
        <v>16</v>
      </c>
      <c r="J12" s="7" t="s">
        <v>71</v>
      </c>
      <c r="K12" s="19" t="s">
        <v>16</v>
      </c>
      <c r="L12" s="18"/>
      <c r="M12" s="18"/>
    </row>
    <row r="13" spans="1:13">
      <c r="A13" s="8" t="s">
        <v>72</v>
      </c>
      <c r="B13" s="5" t="str">
        <f t="shared" si="0"/>
        <v>25-NOV</v>
      </c>
      <c r="C13" s="5" t="s">
        <v>73</v>
      </c>
      <c r="D13" s="5" t="s">
        <v>74</v>
      </c>
      <c r="E13" s="9" t="s">
        <v>20</v>
      </c>
      <c r="F13" s="10" t="s">
        <v>50</v>
      </c>
      <c r="G13" s="10">
        <v>90</v>
      </c>
      <c r="H13" s="10">
        <v>40</v>
      </c>
      <c r="I13" s="10"/>
      <c r="J13" s="12" t="s">
        <v>56</v>
      </c>
      <c r="K13" s="20" t="s">
        <v>22</v>
      </c>
      <c r="L13" s="18"/>
      <c r="M13" s="18"/>
    </row>
    <row r="14" spans="1:13">
      <c r="A14" s="5" t="s">
        <v>75</v>
      </c>
      <c r="B14" s="5" t="str">
        <f t="shared" si="0"/>
        <v>08-DEC</v>
      </c>
      <c r="C14" s="5" t="s">
        <v>76</v>
      </c>
      <c r="D14" s="5" t="s">
        <v>77</v>
      </c>
      <c r="E14" s="6" t="s">
        <v>26</v>
      </c>
      <c r="F14" s="7" t="s">
        <v>78</v>
      </c>
      <c r="G14" s="7">
        <v>120</v>
      </c>
      <c r="H14" s="7">
        <v>35</v>
      </c>
      <c r="I14" s="7"/>
      <c r="J14" s="7" t="s">
        <v>79</v>
      </c>
      <c r="K14" s="19" t="s">
        <v>28</v>
      </c>
      <c r="L14" s="18"/>
      <c r="M14" s="18"/>
    </row>
    <row r="15" spans="1:13">
      <c r="A15" s="8" t="s">
        <v>80</v>
      </c>
      <c r="B15" s="5" t="str">
        <f t="shared" si="0"/>
        <v>18-FEB</v>
      </c>
      <c r="C15" s="5" t="s">
        <v>81</v>
      </c>
      <c r="D15" s="5" t="s">
        <v>82</v>
      </c>
      <c r="E15" s="9" t="s">
        <v>83</v>
      </c>
      <c r="F15" s="10" t="s">
        <v>84</v>
      </c>
      <c r="G15" s="10">
        <v>150</v>
      </c>
      <c r="H15" s="10">
        <v>15</v>
      </c>
      <c r="I15" s="10" t="s">
        <v>16</v>
      </c>
      <c r="J15" s="12" t="s">
        <v>85</v>
      </c>
      <c r="K15" s="20" t="s">
        <v>16</v>
      </c>
      <c r="L15" s="18"/>
      <c r="M15" s="18"/>
    </row>
    <row r="16" spans="1:18">
      <c r="A16" s="5" t="s">
        <v>86</v>
      </c>
      <c r="B16" s="5" t="str">
        <f t="shared" si="0"/>
        <v>16-APR</v>
      </c>
      <c r="C16" s="5" t="s">
        <v>87</v>
      </c>
      <c r="D16" s="5" t="s">
        <v>88</v>
      </c>
      <c r="E16" s="6" t="s">
        <v>44</v>
      </c>
      <c r="F16" s="7" t="s">
        <v>89</v>
      </c>
      <c r="G16" s="7">
        <v>250</v>
      </c>
      <c r="H16" s="7">
        <v>20</v>
      </c>
      <c r="I16" s="7" t="s">
        <v>16</v>
      </c>
      <c r="J16" s="7" t="s">
        <v>90</v>
      </c>
      <c r="K16" s="19" t="s">
        <v>16</v>
      </c>
      <c r="L16" s="18"/>
      <c r="M16" s="18"/>
      <c r="N16" s="24"/>
      <c r="O16" s="24"/>
      <c r="P16" s="24"/>
      <c r="Q16" s="24"/>
      <c r="R16" s="24"/>
    </row>
    <row r="17" spans="1:18">
      <c r="A17" s="8" t="s">
        <v>91</v>
      </c>
      <c r="B17" s="5" t="str">
        <f t="shared" si="0"/>
        <v>21-AUG</v>
      </c>
      <c r="C17" s="5" t="s">
        <v>81</v>
      </c>
      <c r="D17" s="5" t="s">
        <v>92</v>
      </c>
      <c r="E17" s="9" t="s">
        <v>93</v>
      </c>
      <c r="F17" s="10" t="s">
        <v>94</v>
      </c>
      <c r="G17" s="10">
        <v>50</v>
      </c>
      <c r="H17" s="10">
        <v>35</v>
      </c>
      <c r="I17" s="10" t="s">
        <v>40</v>
      </c>
      <c r="J17" s="12" t="s">
        <v>95</v>
      </c>
      <c r="K17" s="20" t="s">
        <v>40</v>
      </c>
      <c r="L17" s="18"/>
      <c r="M17" s="18"/>
      <c r="N17" s="24"/>
      <c r="O17" s="24"/>
      <c r="R17" s="24"/>
    </row>
    <row r="18" spans="1:18">
      <c r="A18" s="5" t="s">
        <v>96</v>
      </c>
      <c r="B18" s="5" t="str">
        <f t="shared" si="0"/>
        <v>20-AUG</v>
      </c>
      <c r="C18" s="5" t="s">
        <v>97</v>
      </c>
      <c r="D18" s="5" t="s">
        <v>98</v>
      </c>
      <c r="E18" s="6" t="s">
        <v>83</v>
      </c>
      <c r="F18" s="7" t="s">
        <v>99</v>
      </c>
      <c r="G18" s="7">
        <v>160</v>
      </c>
      <c r="H18" s="7">
        <v>15</v>
      </c>
      <c r="I18" s="7" t="s">
        <v>16</v>
      </c>
      <c r="J18" s="7" t="s">
        <v>100</v>
      </c>
      <c r="K18" s="19" t="s">
        <v>16</v>
      </c>
      <c r="L18" s="18"/>
      <c r="M18" s="18"/>
      <c r="N18" s="24"/>
      <c r="O18" s="24"/>
      <c r="R18" s="24"/>
    </row>
    <row r="19" spans="1:18">
      <c r="A19" s="8" t="s">
        <v>101</v>
      </c>
      <c r="B19" s="5" t="str">
        <f t="shared" si="0"/>
        <v>27-JAN</v>
      </c>
      <c r="C19" s="5" t="s">
        <v>102</v>
      </c>
      <c r="D19" s="5" t="s">
        <v>103</v>
      </c>
      <c r="E19" s="9" t="s">
        <v>14</v>
      </c>
      <c r="F19" s="10" t="s">
        <v>104</v>
      </c>
      <c r="G19" s="10">
        <v>980</v>
      </c>
      <c r="H19" s="10">
        <v>10</v>
      </c>
      <c r="I19" s="10" t="s">
        <v>16</v>
      </c>
      <c r="J19" s="12" t="s">
        <v>105</v>
      </c>
      <c r="K19" s="20" t="s">
        <v>16</v>
      </c>
      <c r="L19" s="18"/>
      <c r="M19" s="18"/>
      <c r="N19" s="24"/>
      <c r="O19" s="24"/>
      <c r="P19" s="24"/>
      <c r="Q19" s="24"/>
      <c r="R19" s="24"/>
    </row>
    <row r="20" spans="1:13">
      <c r="A20" s="5" t="s">
        <v>106</v>
      </c>
      <c r="B20" s="5" t="str">
        <f t="shared" si="0"/>
        <v>01-MAR</v>
      </c>
      <c r="C20" s="5" t="s">
        <v>42</v>
      </c>
      <c r="D20" s="5" t="s">
        <v>107</v>
      </c>
      <c r="E20" s="6" t="s">
        <v>108</v>
      </c>
      <c r="F20" s="7" t="s">
        <v>109</v>
      </c>
      <c r="G20" s="7">
        <v>150</v>
      </c>
      <c r="H20" s="7">
        <v>15</v>
      </c>
      <c r="I20" s="7" t="s">
        <v>22</v>
      </c>
      <c r="J20" s="7" t="s">
        <v>85</v>
      </c>
      <c r="K20" s="19" t="s">
        <v>22</v>
      </c>
      <c r="L20" s="18"/>
      <c r="M20" s="18"/>
    </row>
    <row r="21" spans="1:13">
      <c r="A21" s="8" t="s">
        <v>110</v>
      </c>
      <c r="B21" s="5" t="str">
        <f t="shared" si="0"/>
        <v>14-AUG</v>
      </c>
      <c r="C21" s="5" t="s">
        <v>12</v>
      </c>
      <c r="D21" s="5" t="s">
        <v>111</v>
      </c>
      <c r="E21" s="9" t="s">
        <v>112</v>
      </c>
      <c r="F21" s="10" t="s">
        <v>113</v>
      </c>
      <c r="G21" s="10"/>
      <c r="H21" s="10">
        <v>10</v>
      </c>
      <c r="I21" s="10" t="s">
        <v>66</v>
      </c>
      <c r="J21" s="12" t="s">
        <v>46</v>
      </c>
      <c r="K21" s="20" t="s">
        <v>66</v>
      </c>
      <c r="L21" s="18"/>
      <c r="M21" s="18"/>
    </row>
    <row r="22" spans="1:13">
      <c r="A22" s="5" t="s">
        <v>114</v>
      </c>
      <c r="B22" s="5" t="str">
        <f t="shared" si="0"/>
        <v>14-MAY</v>
      </c>
      <c r="C22" s="5" t="s">
        <v>115</v>
      </c>
      <c r="D22" s="5" t="s">
        <v>116</v>
      </c>
      <c r="E22" s="6" t="s">
        <v>117</v>
      </c>
      <c r="F22" s="7" t="s">
        <v>118</v>
      </c>
      <c r="G22" s="7">
        <v>700</v>
      </c>
      <c r="H22" s="7">
        <v>50</v>
      </c>
      <c r="I22" s="7" t="s">
        <v>16</v>
      </c>
      <c r="J22" s="7" t="s">
        <v>119</v>
      </c>
      <c r="K22" s="19" t="s">
        <v>16</v>
      </c>
      <c r="L22" s="18"/>
      <c r="M22" s="18"/>
    </row>
    <row r="23" spans="1:13">
      <c r="A23" s="8" t="s">
        <v>120</v>
      </c>
      <c r="B23" s="5" t="str">
        <f t="shared" si="0"/>
        <v>09-JAN</v>
      </c>
      <c r="C23" s="5" t="s">
        <v>81</v>
      </c>
      <c r="D23" s="5" t="s">
        <v>121</v>
      </c>
      <c r="E23" s="9" t="s">
        <v>122</v>
      </c>
      <c r="F23" s="10" t="s">
        <v>123</v>
      </c>
      <c r="G23" s="10">
        <v>80</v>
      </c>
      <c r="H23" s="10">
        <v>20</v>
      </c>
      <c r="I23" s="10" t="s">
        <v>28</v>
      </c>
      <c r="J23" s="12" t="s">
        <v>23</v>
      </c>
      <c r="K23" s="20" t="s">
        <v>28</v>
      </c>
      <c r="L23" s="18"/>
      <c r="M23" s="18"/>
    </row>
    <row r="24" spans="1:13">
      <c r="A24" s="5" t="s">
        <v>124</v>
      </c>
      <c r="B24" s="5" t="str">
        <f t="shared" si="0"/>
        <v>19-JUL</v>
      </c>
      <c r="C24" s="5" t="s">
        <v>125</v>
      </c>
      <c r="D24" s="5" t="s">
        <v>126</v>
      </c>
      <c r="E24" s="6" t="s">
        <v>127</v>
      </c>
      <c r="F24" s="7" t="s">
        <v>128</v>
      </c>
      <c r="G24" s="7">
        <v>150</v>
      </c>
      <c r="H24" s="7">
        <v>30</v>
      </c>
      <c r="I24" s="7"/>
      <c r="J24" s="7" t="s">
        <v>85</v>
      </c>
      <c r="K24" s="19" t="s">
        <v>16</v>
      </c>
      <c r="L24" s="18"/>
      <c r="M24" s="18"/>
    </row>
    <row r="25" spans="1:13">
      <c r="A25" s="5" t="s">
        <v>129</v>
      </c>
      <c r="B25" s="5" t="str">
        <f t="shared" si="0"/>
        <v>29-SEP</v>
      </c>
      <c r="C25" s="5" t="s">
        <v>81</v>
      </c>
      <c r="D25" s="5" t="s">
        <v>130</v>
      </c>
      <c r="E25" s="11" t="s">
        <v>32</v>
      </c>
      <c r="F25" s="12" t="s">
        <v>131</v>
      </c>
      <c r="G25" s="12">
        <v>800</v>
      </c>
      <c r="H25" s="12">
        <v>45</v>
      </c>
      <c r="I25" s="12" t="s">
        <v>16</v>
      </c>
      <c r="J25" s="12" t="s">
        <v>132</v>
      </c>
      <c r="K25" s="20" t="s">
        <v>16</v>
      </c>
      <c r="L25" s="18"/>
      <c r="M25" s="18"/>
    </row>
    <row r="26" spans="1:13">
      <c r="A26" s="8" t="s">
        <v>133</v>
      </c>
      <c r="B26" s="5" t="str">
        <f t="shared" si="0"/>
        <v>03-JUN</v>
      </c>
      <c r="C26" s="5" t="s">
        <v>81</v>
      </c>
      <c r="D26" s="5" t="s">
        <v>134</v>
      </c>
      <c r="E26" s="9" t="s">
        <v>108</v>
      </c>
      <c r="F26" s="10" t="s">
        <v>135</v>
      </c>
      <c r="G26" s="10"/>
      <c r="H26" s="10">
        <v>25</v>
      </c>
      <c r="I26" s="10" t="s">
        <v>22</v>
      </c>
      <c r="J26" s="7" t="s">
        <v>46</v>
      </c>
      <c r="K26" s="19" t="s">
        <v>22</v>
      </c>
      <c r="L26" s="18"/>
      <c r="M26" s="18"/>
    </row>
    <row r="27" spans="1:13">
      <c r="A27" s="5" t="s">
        <v>136</v>
      </c>
      <c r="B27" s="5" t="str">
        <f t="shared" si="0"/>
        <v>11-JUL</v>
      </c>
      <c r="C27" s="5" t="s">
        <v>81</v>
      </c>
      <c r="D27" s="5" t="s">
        <v>137</v>
      </c>
      <c r="E27" s="11" t="s">
        <v>54</v>
      </c>
      <c r="F27" s="12" t="s">
        <v>138</v>
      </c>
      <c r="G27" s="12">
        <v>400</v>
      </c>
      <c r="H27" s="12">
        <v>40</v>
      </c>
      <c r="I27" s="12" t="s">
        <v>28</v>
      </c>
      <c r="J27" s="12" t="s">
        <v>139</v>
      </c>
      <c r="K27" s="20" t="s">
        <v>28</v>
      </c>
      <c r="L27" s="18"/>
      <c r="M27" s="18"/>
    </row>
    <row r="28" spans="1:13">
      <c r="A28" s="5" t="s">
        <v>140</v>
      </c>
      <c r="B28" s="5" t="str">
        <f t="shared" si="0"/>
        <v>07-MAR</v>
      </c>
      <c r="C28" s="5" t="s">
        <v>81</v>
      </c>
      <c r="D28" s="5" t="s">
        <v>141</v>
      </c>
      <c r="E28" s="6" t="s">
        <v>142</v>
      </c>
      <c r="F28" s="7" t="s">
        <v>143</v>
      </c>
      <c r="G28" s="7">
        <v>60</v>
      </c>
      <c r="H28" s="7">
        <v>30</v>
      </c>
      <c r="I28" s="7" t="s">
        <v>22</v>
      </c>
      <c r="J28" s="7" t="s">
        <v>144</v>
      </c>
      <c r="K28" s="19" t="s">
        <v>22</v>
      </c>
      <c r="L28" s="18"/>
      <c r="M28" s="18"/>
    </row>
    <row r="29" spans="1:13">
      <c r="A29" s="8" t="s">
        <v>145</v>
      </c>
      <c r="B29" s="5" t="str">
        <f t="shared" si="0"/>
        <v>13-APR</v>
      </c>
      <c r="C29" s="5" t="s">
        <v>81</v>
      </c>
      <c r="D29" s="5" t="s">
        <v>146</v>
      </c>
      <c r="E29" s="9" t="s">
        <v>147</v>
      </c>
      <c r="F29" s="10" t="s">
        <v>148</v>
      </c>
      <c r="G29" s="10">
        <v>40</v>
      </c>
      <c r="H29" s="10">
        <v>10</v>
      </c>
      <c r="I29" s="10" t="s">
        <v>28</v>
      </c>
      <c r="J29" s="12" t="s">
        <v>149</v>
      </c>
      <c r="K29" s="20" t="s">
        <v>28</v>
      </c>
      <c r="L29" s="18"/>
      <c r="M29" s="18"/>
    </row>
    <row r="30" spans="1:13">
      <c r="A30" s="5" t="s">
        <v>150</v>
      </c>
      <c r="B30" s="5" t="str">
        <f t="shared" si="0"/>
        <v>24-MAY</v>
      </c>
      <c r="C30" s="5" t="s">
        <v>81</v>
      </c>
      <c r="D30" s="5" t="s">
        <v>151</v>
      </c>
      <c r="E30" s="6" t="s">
        <v>127</v>
      </c>
      <c r="F30" s="7" t="s">
        <v>152</v>
      </c>
      <c r="G30" s="7">
        <v>130</v>
      </c>
      <c r="H30" s="7">
        <v>5</v>
      </c>
      <c r="I30" s="7" t="s">
        <v>16</v>
      </c>
      <c r="J30" s="7" t="s">
        <v>29</v>
      </c>
      <c r="K30" s="19" t="s">
        <v>16</v>
      </c>
      <c r="L30" s="18"/>
      <c r="M30" s="18"/>
    </row>
    <row r="31" spans="1:13">
      <c r="A31" s="8" t="s">
        <v>153</v>
      </c>
      <c r="B31" s="5" t="str">
        <f t="shared" si="0"/>
        <v>02-DEC</v>
      </c>
      <c r="C31" s="5" t="s">
        <v>81</v>
      </c>
      <c r="D31" s="5" t="s">
        <v>154</v>
      </c>
      <c r="E31" s="9" t="s">
        <v>155</v>
      </c>
      <c r="F31" s="10" t="s">
        <v>156</v>
      </c>
      <c r="G31" s="10">
        <v>50</v>
      </c>
      <c r="H31" s="10">
        <v>50</v>
      </c>
      <c r="I31" s="10" t="s">
        <v>22</v>
      </c>
      <c r="J31" s="12" t="s">
        <v>95</v>
      </c>
      <c r="K31" s="20" t="s">
        <v>22</v>
      </c>
      <c r="L31" s="18"/>
      <c r="M31" s="18"/>
    </row>
    <row r="32" spans="1:13">
      <c r="A32" s="8" t="s">
        <v>157</v>
      </c>
      <c r="B32" s="5" t="str">
        <f t="shared" si="0"/>
        <v>09-JUL</v>
      </c>
      <c r="C32" s="5" t="s">
        <v>158</v>
      </c>
      <c r="D32" s="5" t="s">
        <v>159</v>
      </c>
      <c r="E32" s="9" t="s">
        <v>160</v>
      </c>
      <c r="F32" s="10" t="s">
        <v>161</v>
      </c>
      <c r="G32" s="10">
        <v>100</v>
      </c>
      <c r="H32" s="10">
        <v>20</v>
      </c>
      <c r="I32" s="10" t="s">
        <v>40</v>
      </c>
      <c r="J32" s="7" t="s">
        <v>162</v>
      </c>
      <c r="K32" s="19" t="s">
        <v>40</v>
      </c>
      <c r="L32" s="18"/>
      <c r="M32" s="18"/>
    </row>
    <row r="33" spans="1:1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58" ht="15.15" spans="6:7">
      <c r="F58" s="14"/>
      <c r="G58" s="14"/>
    </row>
    <row r="59" ht="15.15" spans="6:7">
      <c r="F59" s="14"/>
      <c r="G59" s="15"/>
    </row>
    <row r="60" ht="15.9" spans="6:7">
      <c r="F60" s="14"/>
      <c r="G60" s="16"/>
    </row>
    <row r="61" ht="15.15"/>
    <row r="77" ht="15.15" spans="6:7">
      <c r="F77" s="14"/>
      <c r="G77" s="14"/>
    </row>
    <row r="78" ht="15.15" spans="6:7">
      <c r="F78" s="14"/>
      <c r="G78" s="15"/>
    </row>
    <row r="79" ht="15.9" spans="6:7">
      <c r="F79" s="14"/>
      <c r="G79" s="16"/>
    </row>
    <row r="80" ht="15.15"/>
  </sheetData>
  <conditionalFormatting sqref="G1:G3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{98c6e91a-462e-4c23-99ab-5d91ec68b372}</x14:id>
        </ext>
      </extLst>
    </cfRule>
  </conditionalFormatting>
  <conditionalFormatting sqref="G2:G3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{1eb16bf7-208e-42b1-8850-bfd60caf5927}</x14:id>
        </ext>
      </extLst>
    </cfRule>
  </conditionalFormatting>
  <conditionalFormatting sqref="I1:I33">
    <cfRule type="cellIs" priority="4" operator="equal">
      <formula>$I$30</formula>
    </cfRule>
  </conditionalFormatting>
  <conditionalFormatting sqref="I1:I32">
    <cfRule type="cellIs" dxfId="0" priority="3" operator="equal">
      <formula>"E+$I$30"</formula>
    </cfRule>
    <cfRule type="containsText" dxfId="1" priority="2" operator="between" text="Electronics">
      <formula>NOT(ISERROR(SEARCH("Electronics",I1)))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c6e91a-462e-4c23-99ab-5d91ec68b3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G1:G32</xm:sqref>
        </x14:conditionalFormatting>
        <x14:conditionalFormatting xmlns:xm="http://schemas.microsoft.com/office/excel/2006/main">
          <x14:cfRule type="dataBar" id="{1eb16bf7-208e-42b1-8850-bfd60caf5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LAHIZ</dc:creator>
  <cp:lastModifiedBy>Reeshma Hisham</cp:lastModifiedBy>
  <dcterms:created xsi:type="dcterms:W3CDTF">2025-02-04T14:05:00Z</dcterms:created>
  <dcterms:modified xsi:type="dcterms:W3CDTF">2026-06-17T14:24:44Z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F783942FE2534369835B8BB59B174869_11</vt:lpwstr>
  </property>
  <property fmtid="{D5CDD505-2E9C-101B-9397-08002B2CF9AE}" pid="3" name="KSOProductBuildVer">
    <vt:lpwstr>2057-12.2.0.23202</vt:lpwstr>
  </property>
</Properties>
</file>